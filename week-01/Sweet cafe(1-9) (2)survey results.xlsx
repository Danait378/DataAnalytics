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naitberhane\Documents\DataAnalytics\week-01\"/>
    </mc:Choice>
  </mc:AlternateContent>
  <xr:revisionPtr revIDLastSave="0" documentId="8_{8FB2EF00-93E3-457D-8716-4C5DA972934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7" sheetId="7" r:id="rId1"/>
    <sheet name="Sheet8" sheetId="8" r:id="rId2"/>
    <sheet name="Sheet1" sheetId="1" r:id="rId3"/>
  </sheets>
  <calcPr calcId="191029"/>
  <pivotCaches>
    <pivotCache cacheId="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D2" i="1"/>
  <c r="D11" i="1" s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<sst xmlns="http://schemas.openxmlformats.org/spreadsheetml/2006/main" count="95" uniqueCount="52">
  <si>
    <t>ID</t>
  </si>
  <si>
    <t>Start time</t>
  </si>
  <si>
    <t>Completion time</t>
  </si>
  <si>
    <t>Email</t>
  </si>
  <si>
    <t>Name</t>
  </si>
  <si>
    <t>Last modified time</t>
  </si>
  <si>
    <t>How often do you visit our cafe?</t>
  </si>
  <si>
    <t>How satisfied are you with our services?</t>
  </si>
  <si>
    <t>How likely are you to recommend our restaurant to a friend or family?</t>
  </si>
  <si>
    <t>What did you enjoy the most about your visit?</t>
  </si>
  <si>
    <t>Would you like to join a reward program</t>
  </si>
  <si>
    <t>achanthadara@my.yearupunited.org</t>
  </si>
  <si>
    <t>alexus chanthadara</t>
  </si>
  <si>
    <t>Weekly</t>
  </si>
  <si>
    <t>Somewhat satisfied</t>
  </si>
  <si>
    <t>Somewhat likely</t>
  </si>
  <si>
    <t>The service</t>
  </si>
  <si>
    <t>Maybe</t>
  </si>
  <si>
    <t>cpalacios@my.yearupunited.org</t>
  </si>
  <si>
    <t>charles palacios</t>
  </si>
  <si>
    <t>Very satisfied</t>
  </si>
  <si>
    <t>Very likely</t>
  </si>
  <si>
    <t>The food or drink</t>
  </si>
  <si>
    <t>Yes</t>
  </si>
  <si>
    <t>BHambleton@YearUp.org</t>
  </si>
  <si>
    <t>Bess Hambleton</t>
  </si>
  <si>
    <t>The vibe</t>
  </si>
  <si>
    <t>smelgara@my.yearupunited.org</t>
  </si>
  <si>
    <t>smaya melgara</t>
  </si>
  <si>
    <t>locelotllopez@my.yearupunited.org</t>
  </si>
  <si>
    <t>luis ocelotllopez</t>
  </si>
  <si>
    <t>Very unlikely</t>
  </si>
  <si>
    <t>No</t>
  </si>
  <si>
    <t>tzergaw@my.yearupunited.org</t>
  </si>
  <si>
    <t>tihitina zergaw</t>
  </si>
  <si>
    <t>dbaptiste@my.yearupunited.org</t>
  </si>
  <si>
    <t>daniel baptiste</t>
  </si>
  <si>
    <t>lalicea@my.yearupunited.org</t>
  </si>
  <si>
    <t>luis alicea</t>
  </si>
  <si>
    <t>Never</t>
  </si>
  <si>
    <t>Neither satisfied nor dissatisfied</t>
  </si>
  <si>
    <t>Somewhat unlikely</t>
  </si>
  <si>
    <t>amartinez3@my.yearupunited.org</t>
  </si>
  <si>
    <t>alondra martinez</t>
  </si>
  <si>
    <t>Daily</t>
  </si>
  <si>
    <t>Time to complete</t>
  </si>
  <si>
    <t>Row Labels</t>
  </si>
  <si>
    <t>Grand Total</t>
  </si>
  <si>
    <t>Sum of ID</t>
  </si>
  <si>
    <t>Count of How satisfied are you with our services?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</si>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</sst>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8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168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8" formatCode="mm:ss"/>
    </dxf>
    <dxf>
      <numFmt numFmtId="28" formatCode="mm:ss"/>
    </dxf>
    <dxf>
      <numFmt numFmtId="168" formatCode="mm/dd/yy;@"/>
    </dxf>
    <dxf>
      <numFmt numFmtId="168" formatCode="mm/dd/yy;@"/>
    </dxf>
    <dxf>
      <numFmt numFmtId="168" formatCode="mm/dd/yy;@"/>
    </dxf>
    <dxf>
      <numFmt numFmtId="168" formatCode="mm/dd/yy;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 cafe(1-9) (2)survey results.xlsx]Sheet7!PivotTable6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3"/>
                <c:pt idx="0">
                  <c:v>Neither satisfied nor dissatisfied</c:v>
                </c:pt>
                <c:pt idx="1">
                  <c:v>Somewhat satisfied</c:v>
                </c:pt>
                <c:pt idx="2">
                  <c:v>Very satisfied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E-4971-A7B6-1AB63802C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41472"/>
        <c:axId val="19538592"/>
      </c:barChart>
      <c:catAx>
        <c:axId val="1954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8592"/>
        <c:crosses val="autoZero"/>
        <c:auto val="1"/>
        <c:lblAlgn val="ctr"/>
        <c:lblOffset val="100"/>
        <c:noMultiLvlLbl val="0"/>
      </c:catAx>
      <c:valAx>
        <c:axId val="195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[Sweet cafe(1-9) (2)survey results.xlsx]Sheet8!PivotTable7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Sheet8!$B$3:$B$4</c:f>
              <c:strCache>
                <c:ptCount val="1"/>
                <c:pt idx="0">
                  <c:v>Somewhat likely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Sheet8!$A$5:$A$8</c:f>
              <c:strCache>
                <c:ptCount val="3"/>
                <c:pt idx="0">
                  <c:v>Neither satisfied nor dissatisfied</c:v>
                </c:pt>
                <c:pt idx="1">
                  <c:v>Somewhat satisfied</c:v>
                </c:pt>
                <c:pt idx="2">
                  <c:v>Very satisfied</c:v>
                </c:pt>
              </c:strCache>
            </c:strRef>
          </c:cat>
          <c:val>
            <c:numRef>
              <c:f>Sheet8!$B$5:$B$8</c:f>
              <c:numCache>
                <c:formatCode>General</c:formatCode>
                <c:ptCount val="3"/>
                <c:pt idx="1">
                  <c:v>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72-46BE-AC30-4A00624A762F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Somewhat unlikely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Sheet8!$A$5:$A$8</c:f>
              <c:strCache>
                <c:ptCount val="3"/>
                <c:pt idx="0">
                  <c:v>Neither satisfied nor dissatisfied</c:v>
                </c:pt>
                <c:pt idx="1">
                  <c:v>Somewhat satisfied</c:v>
                </c:pt>
                <c:pt idx="2">
                  <c:v>Very satisfied</c:v>
                </c:pt>
              </c:strCache>
            </c:strRef>
          </c:cat>
          <c:val>
            <c:numRef>
              <c:f>Sheet8!$C$5:$C$8</c:f>
              <c:numCache>
                <c:formatCode>General</c:formatCode>
                <c:ptCount val="3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572-46BE-AC30-4A00624A762F}"/>
            </c:ext>
          </c:extLst>
        </c:ser>
        <c:ser>
          <c:idx val="2"/>
          <c:order val="2"/>
          <c:tx>
            <c:strRef>
              <c:f>Sheet8!$D$3:$D$4</c:f>
              <c:strCache>
                <c:ptCount val="1"/>
                <c:pt idx="0">
                  <c:v>Very likely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Sheet8!$A$5:$A$8</c:f>
              <c:strCache>
                <c:ptCount val="3"/>
                <c:pt idx="0">
                  <c:v>Neither satisfied nor dissatisfied</c:v>
                </c:pt>
                <c:pt idx="1">
                  <c:v>Somewhat satisfied</c:v>
                </c:pt>
                <c:pt idx="2">
                  <c:v>Very satisfied</c:v>
                </c:pt>
              </c:strCache>
            </c:strRef>
          </c:cat>
          <c:val>
            <c:numRef>
              <c:f>Sheet8!$D$5:$D$8</c:f>
              <c:numCache>
                <c:formatCode>General</c:formatCode>
                <c:ptCount val="3"/>
                <c:pt idx="1">
                  <c:v>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572-46BE-AC30-4A00624A762F}"/>
            </c:ext>
          </c:extLst>
        </c:ser>
        <c:ser>
          <c:idx val="3"/>
          <c:order val="3"/>
          <c:tx>
            <c:strRef>
              <c:f>Sheet8!$E$3:$E$4</c:f>
              <c:strCache>
                <c:ptCount val="1"/>
                <c:pt idx="0">
                  <c:v>Very unlikely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Sheet8!$A$5:$A$8</c:f>
              <c:strCache>
                <c:ptCount val="3"/>
                <c:pt idx="0">
                  <c:v>Neither satisfied nor dissatisfied</c:v>
                </c:pt>
                <c:pt idx="1">
                  <c:v>Somewhat satisfied</c:v>
                </c:pt>
                <c:pt idx="2">
                  <c:v>Very satisfied</c:v>
                </c:pt>
              </c:strCache>
            </c:strRef>
          </c:cat>
          <c:val>
            <c:numRef>
              <c:f>Sheet8!$E$5:$E$8</c:f>
              <c:numCache>
                <c:formatCode>General</c:formatCode>
                <c:ptCount val="3"/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572-46BE-AC30-4A00624A7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1641475</xdr:colOff>
      <xdr:row>4</xdr:row>
      <xdr:rowOff>95250</xdr:rowOff>
    </xdr:from>
    <xdr:to>
      <xdr:col>7</xdr:col>
      <xdr:colOff>180975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B43FF-5478-F31E-2B7B-DE969D732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1917700</xdr:colOff>
      <xdr:row>4</xdr:row>
      <xdr:rowOff>95250</xdr:rowOff>
    </xdr:from>
    <xdr:to>
      <xdr:col>10</xdr:col>
      <xdr:colOff>203200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A56C8-CBDF-1070-3393-D15F0CAA2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ait berhane" refreshedDate="46122.479095254632" createdVersion="8" refreshedVersion="8" minRefreshableVersion="3" recordCount="9" xr:uid="{E22EA6FB-E887-4FD8-8E46-71BB76C7271F}">
  <cacheSource type="worksheet">
    <worksheetSource name="Table1"/>
  </cacheSource>
  <cacheFields count="15">
    <cacheField name="ID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Start time" numFmtId="168">
      <sharedItems containsSemiMixedTypes="0" containsNonDate="0" containsDate="1" containsString="0" minDate="2026-04-08T05:58:03" maxDate="2026-04-09T11:43:24"/>
    </cacheField>
    <cacheField name="Completion time" numFmtId="168">
      <sharedItems containsSemiMixedTypes="0" containsNonDate="0" containsDate="1" containsString="0" minDate="2026-04-08T05:58:32" maxDate="2026-04-09T11:43:37"/>
    </cacheField>
    <cacheField name="Time to complete" numFmtId="45">
      <sharedItems containsSemiMixedTypes="0" containsNonDate="0" containsDate="1" containsString="0" minDate="1899-12-30T00:00:11" maxDate="1899-12-30T00:10:18" count="9">
        <d v="1899-12-30T00:00:29"/>
        <d v="1899-12-30T00:00:14"/>
        <d v="1899-12-30T00:00:27"/>
        <d v="1899-12-30T00:00:48"/>
        <d v="1899-12-30T00:00:11"/>
        <d v="1899-12-30T00:00:55"/>
        <d v="1899-12-30T00:10:18"/>
        <d v="1899-12-30T00:06:01"/>
        <d v="1899-12-30T00:00:13"/>
      </sharedItems>
      <fieldGroup par="14"/>
    </cacheField>
    <cacheField name="Email" numFmtId="0">
      <sharedItems/>
    </cacheField>
    <cacheField name="Name" numFmtId="0">
      <sharedItems count="9">
        <s v="alexus chanthadara"/>
        <s v="charles palacios"/>
        <s v="Bess Hambleton"/>
        <s v="smaya melgara"/>
        <s v="luis ocelotllopez"/>
        <s v="tihitina zergaw"/>
        <s v="daniel baptiste"/>
        <s v="luis alicea"/>
        <s v="alondra martinez"/>
      </sharedItems>
    </cacheField>
    <cacheField name="Last modified time" numFmtId="164">
      <sharedItems containsNonDate="0" containsString="0" containsBlank="1" count="1">
        <m/>
      </sharedItems>
    </cacheField>
    <cacheField name="How often do you visit our cafe?" numFmtId="0">
      <sharedItems count="3">
        <s v="Weekly"/>
        <s v="Never"/>
        <s v="Daily"/>
      </sharedItems>
    </cacheField>
    <cacheField name="How satisfied are you with our services?" numFmtId="0">
      <sharedItems count="3">
        <s v="Somewhat satisfied"/>
        <s v="Very satisfied"/>
        <s v="Neither satisfied nor dissatisfied"/>
      </sharedItems>
    </cacheField>
    <cacheField name="How likely are you to recommend our restaurant to a friend or family?" numFmtId="0">
      <sharedItems count="4">
        <s v="Somewhat likely"/>
        <s v="Very likely"/>
        <s v="Very unlikely"/>
        <s v="Somewhat unlikely"/>
      </sharedItems>
    </cacheField>
    <cacheField name="What did you enjoy the most about your visit?" numFmtId="0">
      <sharedItems/>
    </cacheField>
    <cacheField name="Would you like to join a reward program" numFmtId="0">
      <sharedItems/>
    </cacheField>
    <cacheField name="Seconds (Time to complete)" numFmtId="0" databaseField="0">
      <fieldGroup base="3">
        <rangePr groupBy="seconds" startDate="1899-12-30T00:00:11" endDate="1899-12-30T00:10:18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Time to complete)" numFmtId="0" databaseField="0">
      <fieldGroup base="3">
        <rangePr groupBy="minutes" startDate="1899-12-30T00:00:11" endDate="1899-12-30T00:10:18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 to complete)" numFmtId="0" databaseField="0">
      <fieldGroup base="3">
        <rangePr groupBy="hours" startDate="1899-12-30T00:00:11" endDate="1899-12-30T00:10:18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2026-04-08T05:58:03"/>
    <d v="2026-04-08T05:58:32"/>
    <x v="0"/>
    <s v="achanthadara@my.yearupunited.org"/>
    <x v="0"/>
    <x v="0"/>
    <x v="0"/>
    <x v="0"/>
    <x v="0"/>
    <s v="The service"/>
    <s v="Maybe"/>
  </r>
  <r>
    <x v="1"/>
    <d v="2026-04-08T06:52:18"/>
    <d v="2026-04-08T06:52:32"/>
    <x v="1"/>
    <s v="cpalacios@my.yearupunited.org"/>
    <x v="1"/>
    <x v="0"/>
    <x v="0"/>
    <x v="1"/>
    <x v="1"/>
    <s v="The food or drink"/>
    <s v="Yes"/>
  </r>
  <r>
    <x v="2"/>
    <d v="2026-04-08T10:31:30"/>
    <d v="2026-04-08T10:31:57"/>
    <x v="2"/>
    <s v="BHambleton@YearUp.org"/>
    <x v="2"/>
    <x v="0"/>
    <x v="0"/>
    <x v="1"/>
    <x v="1"/>
    <s v="The vibe"/>
    <s v="Maybe"/>
  </r>
  <r>
    <x v="3"/>
    <d v="2026-04-08T10:45:29"/>
    <d v="2026-04-08T10:46:17"/>
    <x v="3"/>
    <s v="smelgara@my.yearupunited.org"/>
    <x v="3"/>
    <x v="0"/>
    <x v="0"/>
    <x v="1"/>
    <x v="1"/>
    <s v="The food or drink"/>
    <s v="Yes"/>
  </r>
  <r>
    <x v="4"/>
    <d v="2026-04-08T11:43:35"/>
    <d v="2026-04-08T11:43:46"/>
    <x v="4"/>
    <s v="locelotllopez@my.yearupunited.org"/>
    <x v="4"/>
    <x v="0"/>
    <x v="0"/>
    <x v="0"/>
    <x v="2"/>
    <s v="The service"/>
    <s v="No"/>
  </r>
  <r>
    <x v="5"/>
    <d v="2026-04-08T11:43:06"/>
    <d v="2026-04-08T11:44:01"/>
    <x v="5"/>
    <s v="tzergaw@my.yearupunited.org"/>
    <x v="5"/>
    <x v="0"/>
    <x v="0"/>
    <x v="0"/>
    <x v="0"/>
    <s v="The food or drink"/>
    <s v="Yes"/>
  </r>
  <r>
    <x v="6"/>
    <d v="2026-04-09T08:32:43"/>
    <d v="2026-04-09T08:43:01"/>
    <x v="6"/>
    <s v="dbaptiste@my.yearupunited.org"/>
    <x v="6"/>
    <x v="0"/>
    <x v="0"/>
    <x v="0"/>
    <x v="1"/>
    <s v="The service"/>
    <s v="Yes"/>
  </r>
  <r>
    <x v="7"/>
    <d v="2026-04-09T08:47:01"/>
    <d v="2026-04-09T08:53:02"/>
    <x v="7"/>
    <s v="lalicea@my.yearupunited.org"/>
    <x v="7"/>
    <x v="0"/>
    <x v="1"/>
    <x v="2"/>
    <x v="3"/>
    <s v="The food or drink"/>
    <s v="No"/>
  </r>
  <r>
    <x v="8"/>
    <d v="2026-04-09T11:43:24"/>
    <d v="2026-04-09T11:43:37"/>
    <x v="8"/>
    <s v="amartinez3@my.yearupunited.org"/>
    <x v="8"/>
    <x v="0"/>
    <x v="2"/>
    <x v="1"/>
    <x v="0"/>
    <s v="The food or drink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BD282-1308-400F-B1C1-F1CC33145098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5">
    <pivotField showAll="0"/>
    <pivotField numFmtId="168" showAll="0"/>
    <pivotField numFmtId="168" showAll="0"/>
    <pivotField numFmtId="45" showAll="0">
      <items count="10">
        <item x="4"/>
        <item x="8"/>
        <item x="1"/>
        <item x="2"/>
        <item x="0"/>
        <item x="3"/>
        <item x="5"/>
        <item x="7"/>
        <item x="6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ow satisfied are you with our services?" fld="8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67247-E7E3-4381-9222-B16EB8F12BB8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8" firstHeaderRow="1" firstDataRow="2" firstDataCol="1" rowPageCount="1" colPageCount="1"/>
  <pivotFields count="15"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8" showAll="0"/>
    <pivotField numFmtId="168" showAll="0"/>
    <pivotField numFmtId="45" showAll="0">
      <items count="10">
        <item x="4"/>
        <item x="8"/>
        <item x="1"/>
        <item x="2"/>
        <item x="0"/>
        <item x="3"/>
        <item x="5"/>
        <item x="7"/>
        <item x="6"/>
        <item t="default"/>
      </items>
    </pivotField>
    <pivotField showAll="0"/>
    <pivotField showAll="0">
      <items count="10">
        <item x="0"/>
        <item x="8"/>
        <item x="2"/>
        <item x="1"/>
        <item x="6"/>
        <item x="7"/>
        <item x="4"/>
        <item x="3"/>
        <item x="5"/>
        <item t="default"/>
      </items>
    </pivotField>
    <pivotField axis="axisPage" showAll="0">
      <items count="2"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 of ID" fld="0" baseField="0" baseItem="0"/>
  </dataFields>
  <chartFormats count="4">
    <chartFormat chart="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1" totalsRowCount="1">
  <autoFilter ref="A1:L10" xr:uid="{00000000-0009-0000-0100-000001000000}"/>
  <tableColumns count="12">
    <tableColumn id="1" xr3:uid="{00000000-0010-0000-0000-000001000000}" name="ID" dataDxfId="23" totalsRowDxfId="22"/>
    <tableColumn id="2" xr3:uid="{00000000-0010-0000-0000-000002000000}" name="Start time" dataDxfId="21" totalsRowDxfId="20"/>
    <tableColumn id="3" xr3:uid="{00000000-0010-0000-0000-000003000000}" name="Completion time" dataDxfId="19" totalsRowDxfId="18"/>
    <tableColumn id="12" xr3:uid="{B0799796-23AC-4DBB-806F-273905A3AED4}" name="Time to complete" totalsRowFunction="custom" dataDxfId="17" totalsRowDxfId="16">
      <calculatedColumnFormula>C2-B2</calculatedColumnFormula>
      <totalsRowFormula>AVERAGE(D2:D10)</totalsRowFormula>
    </tableColumn>
    <tableColumn id="4" xr3:uid="{00000000-0010-0000-0000-000004000000}" name="Email" dataDxfId="15" totalsRowDxfId="14"/>
    <tableColumn id="5" xr3:uid="{00000000-0010-0000-0000-000005000000}" name="Name" dataDxfId="13" totalsRowDxfId="12"/>
    <tableColumn id="6" xr3:uid="{00000000-0010-0000-0000-000006000000}" name="Last modified time" dataDxfId="11" totalsRowDxfId="10"/>
    <tableColumn id="7" xr3:uid="{00000000-0010-0000-0000-000007000000}" name="How often do you visit our cafe?" dataDxfId="9" totalsRowDxfId="8"/>
    <tableColumn id="8" xr3:uid="{00000000-0010-0000-0000-000008000000}" name="How satisfied are you with our services?" dataDxfId="7" totalsRowDxfId="6"/>
    <tableColumn id="9" xr3:uid="{00000000-0010-0000-0000-000009000000}" name="How likely are you to recommend our restaurant to a friend or family?" dataDxfId="5" totalsRowDxfId="4"/>
    <tableColumn id="10" xr3:uid="{00000000-0010-0000-0000-00000A000000}" name="What did you enjoy the most about your visit?" dataDxfId="3" totalsRowDxfId="2"/>
    <tableColumn id="11" xr3:uid="{00000000-0010-0000-0000-00000B000000}" name="Would you like to join a reward progra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BCF9-CFDB-498E-8A58-2874A38F9A4E}">
  <dimension ref="A3:B7"/>
  <sheetViews>
    <sheetView workbookViewId="0">
      <selection activeCell="B24" sqref="B24"/>
    </sheetView>
  </sheetViews>
  <sheetFormatPr defaultRowHeight="14.5" x14ac:dyDescent="0.35"/>
  <cols>
    <col min="1" max="1" width="27.81640625" bestFit="1" customWidth="1"/>
    <col min="2" max="2" width="42.7265625" bestFit="1" customWidth="1"/>
  </cols>
  <sheetData>
    <row r="3" spans="1:2" x14ac:dyDescent="0.35">
      <c r="A3" s="5" t="s">
        <v>46</v>
      </c>
      <c r="B3" t="s">
        <v>49</v>
      </c>
    </row>
    <row r="4" spans="1:2" x14ac:dyDescent="0.35">
      <c r="A4" s="6" t="s">
        <v>40</v>
      </c>
      <c r="B4" s="2">
        <v>1</v>
      </c>
    </row>
    <row r="5" spans="1:2" x14ac:dyDescent="0.35">
      <c r="A5" s="6" t="s">
        <v>14</v>
      </c>
      <c r="B5" s="2">
        <v>4</v>
      </c>
    </row>
    <row r="6" spans="1:2" x14ac:dyDescent="0.35">
      <c r="A6" s="6" t="s">
        <v>20</v>
      </c>
      <c r="B6" s="2">
        <v>4</v>
      </c>
    </row>
    <row r="7" spans="1:2" x14ac:dyDescent="0.35">
      <c r="A7" s="6" t="s">
        <v>47</v>
      </c>
      <c r="B7" s="2">
        <v>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9C0D-EB9D-4684-8A82-AEB867C89A26}">
  <dimension ref="A1:F8"/>
  <sheetViews>
    <sheetView workbookViewId="0">
      <selection activeCell="A3" sqref="A3"/>
    </sheetView>
  </sheetViews>
  <sheetFormatPr defaultRowHeight="14.5" x14ac:dyDescent="0.35"/>
  <cols>
    <col min="1" max="1" width="27.81640625" bestFit="1" customWidth="1"/>
    <col min="2" max="2" width="15.26953125" bestFit="1" customWidth="1"/>
    <col min="3" max="3" width="16.7265625" bestFit="1" customWidth="1"/>
    <col min="4" max="4" width="9.36328125" bestFit="1" customWidth="1"/>
    <col min="5" max="5" width="11.54296875" bestFit="1" customWidth="1"/>
    <col min="6" max="6" width="10.7265625" bestFit="1" customWidth="1"/>
    <col min="7" max="10" width="1.81640625" bestFit="1" customWidth="1"/>
    <col min="11" max="11" width="10.7265625" bestFit="1" customWidth="1"/>
  </cols>
  <sheetData>
    <row r="1" spans="1:6" x14ac:dyDescent="0.35">
      <c r="A1" s="5" t="s">
        <v>5</v>
      </c>
      <c r="B1" t="s">
        <v>51</v>
      </c>
    </row>
    <row r="3" spans="1:6" x14ac:dyDescent="0.35">
      <c r="A3" s="5" t="s">
        <v>48</v>
      </c>
      <c r="B3" s="5" t="s">
        <v>50</v>
      </c>
    </row>
    <row r="4" spans="1:6" x14ac:dyDescent="0.35">
      <c r="A4" s="5" t="s">
        <v>46</v>
      </c>
      <c r="B4" t="s">
        <v>15</v>
      </c>
      <c r="C4" t="s">
        <v>41</v>
      </c>
      <c r="D4" t="s">
        <v>21</v>
      </c>
      <c r="E4" t="s">
        <v>31</v>
      </c>
      <c r="F4" t="s">
        <v>47</v>
      </c>
    </row>
    <row r="5" spans="1:6" x14ac:dyDescent="0.35">
      <c r="A5" s="6" t="s">
        <v>40</v>
      </c>
      <c r="B5" s="2"/>
      <c r="C5" s="2">
        <v>8</v>
      </c>
      <c r="D5" s="2"/>
      <c r="E5" s="2"/>
      <c r="F5" s="2">
        <v>8</v>
      </c>
    </row>
    <row r="6" spans="1:6" x14ac:dyDescent="0.35">
      <c r="A6" s="6" t="s">
        <v>14</v>
      </c>
      <c r="B6" s="2">
        <v>7</v>
      </c>
      <c r="C6" s="2"/>
      <c r="D6" s="2">
        <v>7</v>
      </c>
      <c r="E6" s="2">
        <v>5</v>
      </c>
      <c r="F6" s="2">
        <v>19</v>
      </c>
    </row>
    <row r="7" spans="1:6" x14ac:dyDescent="0.35">
      <c r="A7" s="6" t="s">
        <v>20</v>
      </c>
      <c r="B7" s="2">
        <v>9</v>
      </c>
      <c r="C7" s="2"/>
      <c r="D7" s="2">
        <v>9</v>
      </c>
      <c r="E7" s="2"/>
      <c r="F7" s="2">
        <v>18</v>
      </c>
    </row>
    <row r="8" spans="1:6" x14ac:dyDescent="0.35">
      <c r="A8" s="6" t="s">
        <v>47</v>
      </c>
      <c r="B8" s="2">
        <v>16</v>
      </c>
      <c r="C8" s="2">
        <v>8</v>
      </c>
      <c r="D8" s="2">
        <v>16</v>
      </c>
      <c r="E8" s="2">
        <v>5</v>
      </c>
      <c r="F8" s="2">
        <v>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72" workbookViewId="0">
      <selection activeCell="D24" sqref="D24"/>
    </sheetView>
  </sheetViews>
  <sheetFormatPr defaultRowHeight="14.5" x14ac:dyDescent="0.35"/>
  <cols>
    <col min="1" max="1" width="20" bestFit="1" customWidth="1"/>
    <col min="2" max="2" width="20" style="2" bestFit="1" customWidth="1"/>
    <col min="3" max="4" width="20" customWidth="1"/>
    <col min="5" max="12" width="20" bestFit="1" customWidth="1"/>
  </cols>
  <sheetData>
    <row r="1" spans="1:12" x14ac:dyDescent="0.35">
      <c r="A1" t="s">
        <v>0</v>
      </c>
      <c r="B1" s="3" t="s">
        <v>1</v>
      </c>
      <c r="C1" t="s">
        <v>2</v>
      </c>
      <c r="D1" s="4" t="s">
        <v>45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</v>
      </c>
      <c r="B2" s="3">
        <v>46120.248645833301</v>
      </c>
      <c r="C2" s="3">
        <v>46120.248981481498</v>
      </c>
      <c r="D2" s="4">
        <f t="shared" ref="D2:D10" si="0">C2-B2</f>
        <v>3.3564819750608876E-4</v>
      </c>
      <c r="E2" t="s">
        <v>11</v>
      </c>
      <c r="F2" t="s">
        <v>12</v>
      </c>
      <c r="G2" s="1"/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35">
      <c r="A3">
        <v>2</v>
      </c>
      <c r="B3" s="3">
        <v>46120.2863194444</v>
      </c>
      <c r="C3" s="3">
        <v>46120.286481481497</v>
      </c>
      <c r="D3" s="4">
        <f t="shared" si="0"/>
        <v>1.6203709674300626E-4</v>
      </c>
      <c r="E3" t="s">
        <v>18</v>
      </c>
      <c r="F3" t="s">
        <v>19</v>
      </c>
      <c r="G3" s="1"/>
      <c r="H3" t="s">
        <v>13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5">
      <c r="A4">
        <v>3</v>
      </c>
      <c r="B4" s="3">
        <v>46120.438541666699</v>
      </c>
      <c r="C4" s="3">
        <v>46120.438854166699</v>
      </c>
      <c r="D4" s="4">
        <f t="shared" si="0"/>
        <v>3.125000002910383E-4</v>
      </c>
      <c r="E4" t="s">
        <v>24</v>
      </c>
      <c r="F4" t="s">
        <v>25</v>
      </c>
      <c r="G4" s="1"/>
      <c r="H4" t="s">
        <v>13</v>
      </c>
      <c r="I4" t="s">
        <v>20</v>
      </c>
      <c r="J4" t="s">
        <v>21</v>
      </c>
      <c r="K4" t="s">
        <v>26</v>
      </c>
      <c r="L4" t="s">
        <v>17</v>
      </c>
    </row>
    <row r="5" spans="1:12" x14ac:dyDescent="0.35">
      <c r="A5">
        <v>4</v>
      </c>
      <c r="B5" s="3">
        <v>46120.448252314804</v>
      </c>
      <c r="C5" s="3">
        <v>46120.448807870402</v>
      </c>
      <c r="D5" s="4">
        <f t="shared" si="0"/>
        <v>5.555555981118232E-4</v>
      </c>
      <c r="E5" t="s">
        <v>27</v>
      </c>
      <c r="F5" t="s">
        <v>28</v>
      </c>
      <c r="G5" s="1"/>
      <c r="H5" t="s">
        <v>13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35">
      <c r="A6">
        <v>5</v>
      </c>
      <c r="B6" s="3">
        <v>46120.488599536999</v>
      </c>
      <c r="C6" s="3">
        <v>46120.488726851901</v>
      </c>
      <c r="D6" s="4">
        <f t="shared" si="0"/>
        <v>1.2731490278383717E-4</v>
      </c>
      <c r="E6" t="s">
        <v>29</v>
      </c>
      <c r="F6" t="s">
        <v>30</v>
      </c>
      <c r="G6" s="1"/>
      <c r="H6" t="s">
        <v>13</v>
      </c>
      <c r="I6" t="s">
        <v>14</v>
      </c>
      <c r="J6" t="s">
        <v>31</v>
      </c>
      <c r="K6" t="s">
        <v>16</v>
      </c>
      <c r="L6" t="s">
        <v>32</v>
      </c>
    </row>
    <row r="7" spans="1:12" x14ac:dyDescent="0.35">
      <c r="A7">
        <v>6</v>
      </c>
      <c r="B7" s="3">
        <v>46120.488263888903</v>
      </c>
      <c r="C7" s="3">
        <v>46120.488900463002</v>
      </c>
      <c r="D7" s="4">
        <f t="shared" si="0"/>
        <v>6.3657409918960184E-4</v>
      </c>
      <c r="E7" t="s">
        <v>33</v>
      </c>
      <c r="F7" t="s">
        <v>34</v>
      </c>
      <c r="G7" s="1"/>
      <c r="H7" t="s">
        <v>13</v>
      </c>
      <c r="I7" t="s">
        <v>14</v>
      </c>
      <c r="J7" t="s">
        <v>15</v>
      </c>
      <c r="K7" t="s">
        <v>22</v>
      </c>
      <c r="L7" t="s">
        <v>23</v>
      </c>
    </row>
    <row r="8" spans="1:12" x14ac:dyDescent="0.35">
      <c r="A8">
        <v>7</v>
      </c>
      <c r="B8" s="3">
        <v>46121.356053240699</v>
      </c>
      <c r="C8" s="3">
        <v>46121.363206018497</v>
      </c>
      <c r="D8" s="4">
        <f t="shared" si="0"/>
        <v>7.1527777981827967E-3</v>
      </c>
      <c r="E8" t="s">
        <v>35</v>
      </c>
      <c r="F8" t="s">
        <v>36</v>
      </c>
      <c r="G8" s="1"/>
      <c r="H8" t="s">
        <v>13</v>
      </c>
      <c r="I8" t="s">
        <v>14</v>
      </c>
      <c r="J8" t="s">
        <v>21</v>
      </c>
      <c r="K8" t="s">
        <v>16</v>
      </c>
      <c r="L8" t="s">
        <v>23</v>
      </c>
    </row>
    <row r="9" spans="1:12" x14ac:dyDescent="0.35">
      <c r="A9">
        <v>8</v>
      </c>
      <c r="B9" s="3">
        <v>46121.365983796299</v>
      </c>
      <c r="C9" s="3">
        <v>46121.370162036997</v>
      </c>
      <c r="D9" s="4">
        <f t="shared" si="0"/>
        <v>4.1782406988204457E-3</v>
      </c>
      <c r="E9" t="s">
        <v>37</v>
      </c>
      <c r="F9" t="s">
        <v>38</v>
      </c>
      <c r="G9" s="1"/>
      <c r="H9" t="s">
        <v>39</v>
      </c>
      <c r="I9" t="s">
        <v>40</v>
      </c>
      <c r="J9" t="s">
        <v>41</v>
      </c>
      <c r="K9" t="s">
        <v>22</v>
      </c>
      <c r="L9" t="s">
        <v>32</v>
      </c>
    </row>
    <row r="10" spans="1:12" x14ac:dyDescent="0.35">
      <c r="A10">
        <v>9</v>
      </c>
      <c r="B10" s="3">
        <v>46121.488472222198</v>
      </c>
      <c r="C10" s="3">
        <v>46121.488622685203</v>
      </c>
      <c r="D10" s="4">
        <f t="shared" si="0"/>
        <v>1.5046300541143864E-4</v>
      </c>
      <c r="E10" t="s">
        <v>42</v>
      </c>
      <c r="F10" t="s">
        <v>43</v>
      </c>
      <c r="G10" s="1"/>
      <c r="H10" t="s">
        <v>44</v>
      </c>
      <c r="I10" t="s">
        <v>20</v>
      </c>
      <c r="J10" t="s">
        <v>15</v>
      </c>
      <c r="K10" t="s">
        <v>22</v>
      </c>
      <c r="L10" t="s">
        <v>23</v>
      </c>
    </row>
    <row r="11" spans="1:12" x14ac:dyDescent="0.35">
      <c r="A11" s="2"/>
      <c r="B11" s="3"/>
      <c r="C11" s="3"/>
      <c r="D11" s="4">
        <f>AVERAGE(D2:D10)</f>
        <v>1.5123457107822308E-3</v>
      </c>
      <c r="E11" s="2"/>
      <c r="F11" s="2"/>
      <c r="G11" s="1"/>
      <c r="H11" s="2"/>
      <c r="I11" s="2"/>
      <c r="J11" s="2"/>
      <c r="K11" s="2"/>
      <c r="L11" s="2"/>
    </row>
    <row r="12" spans="1:12" x14ac:dyDescent="0.35">
      <c r="B12" s="3"/>
      <c r="J12">
        <f>SUM(COUNTIF(J2:J10,"Very likely"),COUNTIF(J2:J10,"Somewhat likely"))</f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10" ma:contentTypeDescription="Create a new document." ma:contentTypeScope="" ma:versionID="b22aff8fbc88cc9afa746eced27ee7f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0bd8c01aa11a802dfa259021a2182590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C4132-BAB4-4567-8F8D-6F5B3D8A9571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275f972-a0ec-44ed-acfc-93b347ca42d1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6D41BA7-3873-4FE1-B1DC-FE0A098ADC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3F9229-4852-47BD-84B6-FFCC4F9C5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 berhane</dc:creator>
  <cp:lastModifiedBy>danait berhane</cp:lastModifiedBy>
  <dcterms:created xsi:type="dcterms:W3CDTF">2026-04-10T14:21:00Z</dcterms:created>
  <dcterms:modified xsi:type="dcterms:W3CDTF">2026-04-10T19:07:38Z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